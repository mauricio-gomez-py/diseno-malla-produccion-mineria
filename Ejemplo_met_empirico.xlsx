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bem\Desktop\"/>
    </mc:Choice>
  </mc:AlternateContent>
  <xr:revisionPtr revIDLastSave="0" documentId="8_{A04B1734-DA7A-49F6-8DB5-F5AEFEE6D5AE}" xr6:coauthVersionLast="46" xr6:coauthVersionMax="46" xr10:uidLastSave="{00000000-0000-0000-0000-000000000000}"/>
  <bookViews>
    <workbookView xWindow="-108" yWindow="-108" windowWidth="23256" windowHeight="12576" xr2:uid="{888440ED-31D4-420F-A6D6-D4FEF46648C6}"/>
  </bookViews>
  <sheets>
    <sheet name="pearse borquez" sheetId="3" r:id="rId1"/>
    <sheet name="taco" sheetId="4" r:id="rId2"/>
    <sheet name="Lilly" sheetId="2" r:id="rId3"/>
    <sheet name="seleccion de exp" sheetId="1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4" l="1"/>
  <c r="C9" i="4"/>
  <c r="C11" i="4" s="1"/>
  <c r="C7" i="4"/>
  <c r="C19" i="2"/>
  <c r="C22" i="2" s="1"/>
  <c r="F16" i="1"/>
  <c r="F15" i="1"/>
  <c r="F14" i="1"/>
  <c r="F13" i="1"/>
  <c r="M13" i="1" s="1"/>
  <c r="F12" i="1"/>
  <c r="M12" i="1" s="1"/>
  <c r="F11" i="1"/>
  <c r="M11" i="1" s="1"/>
  <c r="C25" i="3"/>
  <c r="C26" i="3" s="1"/>
  <c r="C23" i="3"/>
  <c r="C24" i="3" s="1"/>
  <c r="C30" i="3" s="1"/>
  <c r="C19" i="3"/>
  <c r="C20" i="3" s="1"/>
  <c r="C21" i="3" s="1"/>
  <c r="H20" i="1"/>
  <c r="M16" i="1"/>
  <c r="I16" i="1"/>
  <c r="I15" i="1"/>
  <c r="M15" i="1"/>
  <c r="N15" i="1" s="1"/>
  <c r="M14" i="1"/>
  <c r="I14" i="1"/>
  <c r="I13" i="1"/>
  <c r="I12" i="1"/>
  <c r="I11" i="1"/>
  <c r="C6" i="1"/>
  <c r="C5" i="1"/>
  <c r="E5" i="1" s="1"/>
  <c r="C14" i="4" l="1"/>
  <c r="N16" i="1"/>
  <c r="P16" i="1" s="1"/>
  <c r="N14" i="1"/>
  <c r="N13" i="1"/>
  <c r="P13" i="1" s="1"/>
  <c r="N12" i="1"/>
  <c r="P12" i="1" s="1"/>
  <c r="N11" i="1"/>
  <c r="C31" i="3"/>
  <c r="C32" i="3"/>
  <c r="P11" i="1"/>
  <c r="O11" i="1"/>
  <c r="P15" i="1"/>
  <c r="O15" i="1"/>
  <c r="O14" i="1"/>
  <c r="P14" i="1"/>
  <c r="O16" i="1" l="1"/>
  <c r="O13" i="1"/>
  <c r="O12" i="1"/>
  <c r="C34" i="3"/>
  <c r="C36" i="3" s="1"/>
  <c r="C38" i="3" s="1"/>
  <c r="C33" i="3"/>
  <c r="C35" i="3" s="1"/>
  <c r="C37" i="3" s="1"/>
  <c r="C39" i="3" l="1"/>
</calcChain>
</file>

<file path=xl/sharedStrings.xml><?xml version="1.0" encoding="utf-8"?>
<sst xmlns="http://schemas.openxmlformats.org/spreadsheetml/2006/main" count="101" uniqueCount="94">
  <si>
    <t>IT=</t>
  </si>
  <si>
    <t>consumo especifico</t>
  </si>
  <si>
    <t>kg/ton</t>
  </si>
  <si>
    <t>gr/ton</t>
  </si>
  <si>
    <t>factor de energia</t>
  </si>
  <si>
    <t>MJ/t</t>
  </si>
  <si>
    <t>explosivos</t>
  </si>
  <si>
    <t>altura banco</t>
  </si>
  <si>
    <t>burden</t>
  </si>
  <si>
    <t>espaciamiento</t>
  </si>
  <si>
    <t>densidad roca</t>
  </si>
  <si>
    <t>diametro (12 ")</t>
  </si>
  <si>
    <t>pasadura</t>
  </si>
  <si>
    <t>taco</t>
  </si>
  <si>
    <t>tonelaje</t>
  </si>
  <si>
    <t>blendex</t>
  </si>
  <si>
    <t>d exp</t>
  </si>
  <si>
    <t>pote en pso</t>
  </si>
  <si>
    <t>kg</t>
  </si>
  <si>
    <t>FC (gr/t) (anfo eq</t>
  </si>
  <si>
    <t>Energia (MJ/t)</t>
  </si>
  <si>
    <t>dif FC/E %</t>
  </si>
  <si>
    <t>prueba</t>
  </si>
  <si>
    <t>m3</t>
  </si>
  <si>
    <t xml:space="preserve">IT = 0.5 (RMD + JPS + JPO + SGI + HF) </t>
  </si>
  <si>
    <r>
      <t xml:space="preserve">Formulismo Pozos de produccion por el metodo produccion </t>
    </r>
    <r>
      <rPr>
        <b/>
        <sz val="16"/>
        <color theme="1"/>
        <rFont val="Calibri"/>
        <family val="2"/>
        <scheme val="minor"/>
      </rPr>
      <t>Pearse-Borquez</t>
    </r>
  </si>
  <si>
    <t>antecedentes</t>
  </si>
  <si>
    <t xml:space="preserve"> </t>
  </si>
  <si>
    <t>Diametro del pozo (pulg)</t>
  </si>
  <si>
    <t>densidad explosivo (t/m3)</t>
  </si>
  <si>
    <t>VOD expl (m/s)</t>
  </si>
  <si>
    <t>Altura banco (metros)</t>
  </si>
  <si>
    <t>densidad roca (t/m3)</t>
  </si>
  <si>
    <t>RQD ( %)</t>
  </si>
  <si>
    <t>UCS (MPa) resistencia a la compresion</t>
  </si>
  <si>
    <t>Taco (metros)</t>
  </si>
  <si>
    <t>metodogia de calculo de taco</t>
  </si>
  <si>
    <t>SBR  (B/E)</t>
  </si>
  <si>
    <t>Resistencia de las discontinuidades</t>
  </si>
  <si>
    <t>alta</t>
  </si>
  <si>
    <t>Parametros a determinar</t>
  </si>
  <si>
    <t>UCS (psi) resistencia a la compresion</t>
  </si>
  <si>
    <t>Resistencia</t>
  </si>
  <si>
    <t>Factor</t>
  </si>
  <si>
    <t>Ts (psi) resistencia a la traccion estatica</t>
  </si>
  <si>
    <t>discontinuidades</t>
  </si>
  <si>
    <t>corrección JSF</t>
  </si>
  <si>
    <t>Ts (psi) resistencia a la traccion dinamica</t>
  </si>
  <si>
    <t>Alta</t>
  </si>
  <si>
    <t>Fcorrección JSF</t>
  </si>
  <si>
    <t>media</t>
  </si>
  <si>
    <t>ERQD indice de calidad de roca equivalente</t>
  </si>
  <si>
    <t>Baja</t>
  </si>
  <si>
    <t xml:space="preserve">Kv indice de volabilidad </t>
  </si>
  <si>
    <t>Muy baja</t>
  </si>
  <si>
    <t>Pd (MPa) Potencia  de detonacion</t>
  </si>
  <si>
    <t>Pd (psi) Potencia  de detonacion</t>
  </si>
  <si>
    <t xml:space="preserve">Resultados </t>
  </si>
  <si>
    <t>B (pies)</t>
  </si>
  <si>
    <t>S (pies)</t>
  </si>
  <si>
    <t>B (metros)</t>
  </si>
  <si>
    <t>S (metros)</t>
  </si>
  <si>
    <t>Pasadura</t>
  </si>
  <si>
    <t>Ton/pozo</t>
  </si>
  <si>
    <t>Kg/pozo</t>
  </si>
  <si>
    <t>Factor de carga</t>
  </si>
  <si>
    <t xml:space="preserve">Parametros </t>
  </si>
  <si>
    <t>Descropcion de la masa rocosa RMD</t>
  </si>
  <si>
    <t>Wuebradizo/ desmenuzable</t>
  </si>
  <si>
    <t>S  fractura en bloques</t>
  </si>
  <si>
    <t>Totalmente masivo</t>
  </si>
  <si>
    <t>Espaciamiento de los planos de diaclasas JPS</t>
  </si>
  <si>
    <t>cercanos  menor a 0.1  m</t>
  </si>
  <si>
    <t>Intermedio, entre 0.1 a 1 m</t>
  </si>
  <si>
    <t>amplio, mayor a 1 m</t>
  </si>
  <si>
    <t>Orientacion de los planos de diaclasas  JPO</t>
  </si>
  <si>
    <t>Horizontal</t>
  </si>
  <si>
    <t>Rumbo subparalelo a la cara (0 -30ª) manteo a favor del talud</t>
  </si>
  <si>
    <t xml:space="preserve">Rumbo con angulos respecto a la cara (0 -30ª) </t>
  </si>
  <si>
    <t>Rumbo subparalelo a la cara (0 -30ª)  manteo vertical</t>
  </si>
  <si>
    <t xml:space="preserve">Rumbo con angulos respecto a la cara (60 -90ª) </t>
  </si>
  <si>
    <t>Rumbo subparalelo a la cara (0 -30ª)  manteo contra el talud</t>
  </si>
  <si>
    <t>Influencia de la gravedad especifica SGI = 25*SG  - 50</t>
  </si>
  <si>
    <t>Dureza HF    1 -10</t>
  </si>
  <si>
    <t>Dpozo</t>
  </si>
  <si>
    <t>m</t>
  </si>
  <si>
    <t>Lsd</t>
  </si>
  <si>
    <t>Ql</t>
  </si>
  <si>
    <t>kg/m</t>
  </si>
  <si>
    <t>W</t>
  </si>
  <si>
    <t>Kg</t>
  </si>
  <si>
    <t>SD</t>
  </si>
  <si>
    <t>Tcritico</t>
  </si>
  <si>
    <t>curso de perforacion y tronadura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</si>
</sst>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3" borderId="0" xfId="0" applyFill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5" xfId="0" applyFill="1" applyBorder="1"/>
    <xf numFmtId="2" fontId="0" fillId="2" borderId="4" xfId="0" applyNumberForma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2" borderId="0" xfId="0" applyFill="1" applyBorder="1"/>
    <xf numFmtId="0" fontId="0" fillId="2" borderId="4" xfId="0" applyFill="1" applyBorder="1"/>
    <xf numFmtId="2" fontId="0" fillId="3" borderId="0" xfId="0" applyNumberFormat="1" applyFill="1"/>
    <xf numFmtId="0" fontId="2" fillId="2" borderId="0" xfId="0" applyFont="1" applyFill="1" applyAlignment="1">
      <alignment vertical="center"/>
    </xf>
    <xf numFmtId="0" fontId="0" fillId="2" borderId="4" xfId="0" applyFill="1" applyBorder="1" applyAlignment="1">
      <alignment horizontal="right"/>
    </xf>
    <xf numFmtId="0" fontId="4" fillId="2" borderId="4" xfId="0" applyFont="1" applyFill="1" applyBorder="1"/>
    <xf numFmtId="0" fontId="5" fillId="2" borderId="4" xfId="0" applyFont="1" applyFill="1" applyBorder="1" applyAlignment="1">
      <alignment horizontal="center"/>
    </xf>
    <xf numFmtId="2" fontId="6" fillId="2" borderId="4" xfId="0" applyNumberFormat="1" applyFont="1" applyFill="1" applyBorder="1"/>
    <xf numFmtId="0" fontId="7" fillId="2" borderId="0" xfId="0" applyFont="1" applyFill="1"/>
    <xf numFmtId="0" fontId="6" fillId="2" borderId="4" xfId="0" applyFont="1" applyFill="1" applyBorder="1"/>
    <xf numFmtId="1" fontId="6" fillId="2" borderId="4" xfId="0" applyNumberFormat="1" applyFont="1" applyFill="1" applyBorder="1"/>
    <xf numFmtId="0" fontId="0" fillId="4" borderId="4" xfId="0" applyFill="1" applyBorder="1"/>
    <xf numFmtId="2" fontId="6" fillId="4" borderId="4" xfId="0" applyNumberFormat="1" applyFont="1" applyFill="1" applyBorder="1"/>
    <xf numFmtId="0" fontId="0" fillId="3" borderId="4" xfId="0" applyFill="1" applyBorder="1"/>
    <xf numFmtId="0" fontId="0" fillId="4" borderId="4" xfId="0" applyFill="1" applyBorder="1" applyAlignment="1">
      <alignment horizontal="center"/>
    </xf>
    <xf numFmtId="165" fontId="0" fillId="2" borderId="4" xfId="0" applyNumberFormat="1" applyFill="1" applyBorder="1"/>
    <xf numFmtId="2" fontId="0" fillId="2" borderId="4" xfId="0" applyNumberFormat="1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495300</xdr:colOff>
          <xdr:row>17</xdr:row>
          <xdr:rowOff>121920</xdr:rowOff>
        </xdr:from>
        <xdr:to>
          <xdr:col>6</xdr:col>
          <xdr:colOff>129540</xdr:colOff>
          <xdr:row>19</xdr:row>
          <xdr:rowOff>45720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510540</xdr:colOff>
          <xdr:row>19</xdr:row>
          <xdr:rowOff>167640</xdr:rowOff>
        </xdr:from>
        <xdr:to>
          <xdr:col>5</xdr:col>
          <xdr:colOff>1432560</xdr:colOff>
          <xdr:row>21</xdr:row>
          <xdr:rowOff>38100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457200</xdr:colOff>
          <xdr:row>29</xdr:row>
          <xdr:rowOff>60960</xdr:rowOff>
        </xdr:from>
        <xdr:to>
          <xdr:col>6</xdr:col>
          <xdr:colOff>411480</xdr:colOff>
          <xdr:row>32</xdr:row>
          <xdr:rowOff>15240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4</xdr:col>
      <xdr:colOff>426720</xdr:colOff>
      <xdr:row>32</xdr:row>
      <xdr:rowOff>106680</xdr:rowOff>
    </xdr:from>
    <xdr:to>
      <xdr:col>7</xdr:col>
      <xdr:colOff>1242060</xdr:colOff>
      <xdr:row>40</xdr:row>
      <xdr:rowOff>106680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385560" y="6545580"/>
          <a:ext cx="3649980" cy="14630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B: burden en pies </a:t>
          </a:r>
        </a:p>
        <a:p>
          <a:r>
            <a:rPr lang="en-US"/>
            <a:t>D: diámetro del taladro (pulg) </a:t>
          </a:r>
        </a:p>
        <a:p>
          <a:r>
            <a:rPr lang="en-US"/>
            <a:t>P: presión de detonación de la carga explosiva (psi) </a:t>
          </a:r>
        </a:p>
        <a:p>
          <a:r>
            <a:rPr lang="en-US"/>
            <a:t>Std: resistencia a la tensión dinámica de la roca (psi)</a:t>
          </a:r>
          <a:endParaRPr lang="en-US" sz="1100"/>
        </a:p>
      </xdr:txBody>
    </xdr:sp>
    <xdr:clientData/>
  </xdr:twoCellAnchor>
  <xdr:twoCellAnchor editAs="oneCell">
    <xdr:from>
      <xdr:col>0</xdr:col>
      <xdr:colOff>365759</xdr:colOff>
      <xdr:row>0</xdr:row>
      <xdr:rowOff>754380</xdr:rowOff>
    </xdr:from>
    <xdr:to>
      <xdr:col>0</xdr:col>
      <xdr:colOff>1082040</xdr:colOff>
      <xdr:row>4</xdr:row>
      <xdr:rowOff>66675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59" y="754380"/>
          <a:ext cx="716281" cy="615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198120</xdr:colOff>
      <xdr:row>3</xdr:row>
      <xdr:rowOff>106680</xdr:rowOff>
    </xdr:from>
    <xdr:to>
      <xdr:col>12</xdr:col>
      <xdr:colOff>327660</xdr:colOff>
      <xdr:row>14</xdr:row>
      <xdr:rowOff>175260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5720" y="655320"/>
          <a:ext cx="3787140" cy="2080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220980</xdr:colOff>
      <xdr:row>1</xdr:row>
      <xdr:rowOff>15240</xdr:rowOff>
    </xdr:from>
    <xdr:to>
      <xdr:col>0</xdr:col>
      <xdr:colOff>937261</xdr:colOff>
      <xdr:row>4</xdr:row>
      <xdr:rowOff>101447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952500"/>
          <a:ext cx="716281" cy="634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769620</xdr:rowOff>
    </xdr:from>
    <xdr:to>
      <xdr:col>0</xdr:col>
      <xdr:colOff>1021081</xdr:colOff>
      <xdr:row>4</xdr:row>
      <xdr:rowOff>13335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769620"/>
          <a:ext cx="716281" cy="63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581025</xdr:colOff>
      <xdr:row>2</xdr:row>
      <xdr:rowOff>0</xdr:rowOff>
    </xdr:from>
    <xdr:to>
      <xdr:col>15</xdr:col>
      <xdr:colOff>32385</xdr:colOff>
      <xdr:row>6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4285" y="731520"/>
          <a:ext cx="5113020" cy="9124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342899</xdr:colOff>
      <xdr:row>1</xdr:row>
      <xdr:rowOff>76200</xdr:rowOff>
    </xdr:from>
    <xdr:to>
      <xdr:col>1</xdr:col>
      <xdr:colOff>28324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899" y="624840"/>
          <a:ext cx="805565" cy="615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3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AC3CA-56A8-4F08-BB6D-BFEA227083C8}">
  <dimension ref="A1:I39"/>
  <sheetViews>
    <sheetView tabSelected="1" zoomScale="87" workbookViewId="0">
      <selection activeCell="A18" sqref="A18"/>
    </sheetView>
  </sheetViews>
  <sheetFormatPr baseColWidth="10" defaultColWidth="8.88671875" defaultRowHeight="14.4" x14ac:dyDescent="0.3"/>
  <cols>
    <col min="1" max="1" width="23.6640625" style="2" customWidth="1"/>
    <col min="2" max="2" width="39.109375" style="2" customWidth="1"/>
    <col min="3" max="3" width="12.6640625" style="2" customWidth="1"/>
    <col min="4" max="4" width="11.44140625" style="2" customWidth="1"/>
    <col min="5" max="5" width="8.88671875" style="2"/>
    <col min="6" max="6" width="23.5546875" style="2" customWidth="1"/>
    <col min="7" max="7" width="8.88671875" style="2"/>
    <col min="8" max="8" width="18.77734375" style="2" customWidth="1"/>
    <col min="9" max="9" width="15" style="2" customWidth="1"/>
    <col min="10" max="16384" width="8.88671875" style="2"/>
  </cols>
  <sheetData>
    <row r="1" spans="1:4" ht="60.6" customHeight="1" x14ac:dyDescent="0.3">
      <c r="A1" s="1" t="s">
        <v>93</v>
      </c>
      <c r="B1" s="15" t="s">
        <v>25</v>
      </c>
    </row>
    <row r="3" spans="1:4" x14ac:dyDescent="0.3">
      <c r="B3" s="2" t="s">
        <v>26</v>
      </c>
    </row>
    <row r="4" spans="1:4" x14ac:dyDescent="0.3">
      <c r="B4" s="2" t="s">
        <v>27</v>
      </c>
    </row>
    <row r="5" spans="1:4" x14ac:dyDescent="0.3">
      <c r="B5" s="13" t="s">
        <v>28</v>
      </c>
      <c r="C5" s="13">
        <v>12</v>
      </c>
    </row>
    <row r="6" spans="1:4" x14ac:dyDescent="0.3">
      <c r="B6" s="13"/>
      <c r="C6" s="16"/>
    </row>
    <row r="7" spans="1:4" x14ac:dyDescent="0.3">
      <c r="B7" s="13" t="s">
        <v>29</v>
      </c>
      <c r="C7" s="25">
        <v>1.1000000000000001</v>
      </c>
    </row>
    <row r="8" spans="1:4" x14ac:dyDescent="0.3">
      <c r="B8" s="13" t="s">
        <v>30</v>
      </c>
      <c r="C8" s="13">
        <v>3947</v>
      </c>
    </row>
    <row r="9" spans="1:4" x14ac:dyDescent="0.3">
      <c r="B9" s="13" t="s">
        <v>31</v>
      </c>
      <c r="C9" s="13">
        <v>10</v>
      </c>
    </row>
    <row r="10" spans="1:4" x14ac:dyDescent="0.3">
      <c r="B10" s="13" t="s">
        <v>32</v>
      </c>
      <c r="C10" s="25">
        <v>2.7</v>
      </c>
    </row>
    <row r="11" spans="1:4" x14ac:dyDescent="0.3">
      <c r="B11" s="13" t="s">
        <v>33</v>
      </c>
      <c r="C11" s="13">
        <v>60</v>
      </c>
    </row>
    <row r="12" spans="1:4" x14ac:dyDescent="0.3">
      <c r="B12" s="13" t="s">
        <v>34</v>
      </c>
      <c r="C12" s="13">
        <v>150</v>
      </c>
    </row>
    <row r="13" spans="1:4" x14ac:dyDescent="0.3">
      <c r="B13" s="13" t="s">
        <v>35</v>
      </c>
      <c r="C13" s="25">
        <v>5.73</v>
      </c>
      <c r="D13" s="2" t="s">
        <v>36</v>
      </c>
    </row>
    <row r="14" spans="1:4" x14ac:dyDescent="0.3">
      <c r="B14" s="13" t="s">
        <v>37</v>
      </c>
      <c r="C14" s="13">
        <v>1</v>
      </c>
    </row>
    <row r="15" spans="1:4" x14ac:dyDescent="0.3">
      <c r="B15" s="13" t="s">
        <v>38</v>
      </c>
      <c r="C15" s="16" t="s">
        <v>39</v>
      </c>
    </row>
    <row r="17" spans="2:9" x14ac:dyDescent="0.3">
      <c r="B17" s="2" t="s">
        <v>40</v>
      </c>
    </row>
    <row r="19" spans="2:9" x14ac:dyDescent="0.3">
      <c r="B19" s="13" t="s">
        <v>41</v>
      </c>
      <c r="C19" s="17">
        <f>10.1972*C12</f>
        <v>1529.5800000000002</v>
      </c>
      <c r="H19" s="18" t="s">
        <v>42</v>
      </c>
      <c r="I19" s="18" t="s">
        <v>43</v>
      </c>
    </row>
    <row r="20" spans="2:9" x14ac:dyDescent="0.3">
      <c r="B20" s="13" t="s">
        <v>44</v>
      </c>
      <c r="C20" s="19">
        <f>8/100*C19</f>
        <v>122.36640000000001</v>
      </c>
      <c r="D20" s="20"/>
      <c r="H20" s="18" t="s">
        <v>45</v>
      </c>
      <c r="I20" s="18" t="s">
        <v>46</v>
      </c>
    </row>
    <row r="21" spans="2:9" x14ac:dyDescent="0.3">
      <c r="B21" s="13" t="s">
        <v>47</v>
      </c>
      <c r="C21" s="19">
        <f>+C20</f>
        <v>122.36640000000001</v>
      </c>
      <c r="D21" s="20"/>
      <c r="H21" s="4" t="s">
        <v>48</v>
      </c>
      <c r="I21" s="4">
        <v>1</v>
      </c>
    </row>
    <row r="22" spans="2:9" x14ac:dyDescent="0.3">
      <c r="B22" s="13" t="s">
        <v>49</v>
      </c>
      <c r="C22" s="17">
        <v>0.7</v>
      </c>
      <c r="H22" s="4" t="s">
        <v>50</v>
      </c>
      <c r="I22" s="4">
        <v>0.9</v>
      </c>
    </row>
    <row r="23" spans="2:9" x14ac:dyDescent="0.3">
      <c r="B23" s="13" t="s">
        <v>51</v>
      </c>
      <c r="C23" s="21">
        <f>+C22*C11</f>
        <v>42</v>
      </c>
      <c r="H23" s="4" t="s">
        <v>52</v>
      </c>
      <c r="I23" s="4">
        <v>0.8</v>
      </c>
    </row>
    <row r="24" spans="2:9" x14ac:dyDescent="0.3">
      <c r="B24" s="13" t="s">
        <v>53</v>
      </c>
      <c r="C24" s="21">
        <f>ROUND(1.96-0.27*LN(C23),1)</f>
        <v>1</v>
      </c>
      <c r="H24" s="4" t="s">
        <v>54</v>
      </c>
      <c r="I24" s="4">
        <v>0.7</v>
      </c>
    </row>
    <row r="25" spans="2:9" x14ac:dyDescent="0.3">
      <c r="B25" s="13" t="s">
        <v>55</v>
      </c>
      <c r="C25" s="21">
        <f>ROUND(250*C7*C8^2*10^(-6),0)</f>
        <v>4284</v>
      </c>
    </row>
    <row r="26" spans="2:9" x14ac:dyDescent="0.3">
      <c r="B26" s="13" t="s">
        <v>56</v>
      </c>
      <c r="C26" s="22">
        <f>145.038*C25</f>
        <v>621342.79200000002</v>
      </c>
    </row>
    <row r="27" spans="2:9" x14ac:dyDescent="0.3">
      <c r="D27" s="20"/>
    </row>
    <row r="28" spans="2:9" x14ac:dyDescent="0.3">
      <c r="B28" s="2" t="s">
        <v>57</v>
      </c>
      <c r="D28" s="20"/>
    </row>
    <row r="29" spans="2:9" x14ac:dyDescent="0.3">
      <c r="D29" s="20"/>
    </row>
    <row r="30" spans="2:9" x14ac:dyDescent="0.3">
      <c r="B30" s="13" t="s">
        <v>58</v>
      </c>
      <c r="C30" s="21">
        <f>ROUND(+C24*C5*0.0254*(C26/C21)^0.5,1)</f>
        <v>21.7</v>
      </c>
      <c r="D30" s="20"/>
    </row>
    <row r="31" spans="2:9" x14ac:dyDescent="0.3">
      <c r="B31" s="13" t="s">
        <v>59</v>
      </c>
      <c r="C31" s="21">
        <f>C14*C30</f>
        <v>21.7</v>
      </c>
    </row>
    <row r="32" spans="2:9" x14ac:dyDescent="0.3">
      <c r="B32" s="13" t="s">
        <v>60</v>
      </c>
      <c r="C32" s="19">
        <f>+C30*0.3048</f>
        <v>6.61416</v>
      </c>
      <c r="D32" s="20"/>
    </row>
    <row r="33" spans="2:4" x14ac:dyDescent="0.3">
      <c r="B33" s="13" t="s">
        <v>61</v>
      </c>
      <c r="C33" s="19">
        <f>+C32</f>
        <v>6.61416</v>
      </c>
      <c r="D33" s="20"/>
    </row>
    <row r="34" spans="2:4" x14ac:dyDescent="0.3">
      <c r="B34" s="23" t="s">
        <v>60</v>
      </c>
      <c r="C34" s="24">
        <f>ROUND(C32,0.5)</f>
        <v>7</v>
      </c>
      <c r="D34" s="20"/>
    </row>
    <row r="35" spans="2:4" x14ac:dyDescent="0.3">
      <c r="B35" s="23" t="s">
        <v>61</v>
      </c>
      <c r="C35" s="24">
        <f>ROUND(C33,0.5)</f>
        <v>7</v>
      </c>
      <c r="D35" s="20"/>
    </row>
    <row r="36" spans="2:4" x14ac:dyDescent="0.3">
      <c r="B36" s="13" t="s">
        <v>62</v>
      </c>
      <c r="C36" s="21">
        <f>ROUND(0.3*C34,1)</f>
        <v>2.1</v>
      </c>
      <c r="D36" s="20"/>
    </row>
    <row r="37" spans="2:4" x14ac:dyDescent="0.3">
      <c r="B37" s="13" t="s">
        <v>63</v>
      </c>
      <c r="C37" s="21">
        <f>ROUND(+C35*C34*C9*C10,0)</f>
        <v>1323</v>
      </c>
      <c r="D37" s="20"/>
    </row>
    <row r="38" spans="2:4" x14ac:dyDescent="0.3">
      <c r="B38" s="13" t="s">
        <v>64</v>
      </c>
      <c r="C38" s="21">
        <f>ROUND(0.5067*C7*C5^2*(C9+C36-C13),0)</f>
        <v>511</v>
      </c>
      <c r="D38" s="20"/>
    </row>
    <row r="39" spans="2:4" x14ac:dyDescent="0.3">
      <c r="B39" s="13" t="s">
        <v>65</v>
      </c>
      <c r="C39" s="17">
        <f>ROUND(+C38*1000/C37,0)</f>
        <v>386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3073" r:id="rId3">
          <objectPr defaultSize="0" autoPict="0" r:id="rId4">
            <anchor moveWithCells="1">
              <from>
                <xdr:col>4</xdr:col>
                <xdr:colOff>495300</xdr:colOff>
                <xdr:row>17</xdr:row>
                <xdr:rowOff>121920</xdr:rowOff>
              </from>
              <to>
                <xdr:col>6</xdr:col>
                <xdr:colOff>129540</xdr:colOff>
                <xdr:row>19</xdr:row>
                <xdr:rowOff>45720</xdr:rowOff>
              </to>
            </anchor>
          </objectPr>
        </oleObject>
      </mc:Choice>
      <mc:Fallback>
        <oleObject progId="Equation.3" shapeId="3073" r:id="rId3"/>
      </mc:Fallback>
    </mc:AlternateContent>
    <mc:AlternateContent xmlns:mc="http://schemas.openxmlformats.org/markup-compatibility/2006">
      <mc:Choice Requires="x14">
        <oleObject progId="Equation.3" shapeId="3074" r:id="rId5">
          <objectPr defaultSize="0" autoPict="0" r:id="rId6">
            <anchor moveWithCells="1">
              <from>
                <xdr:col>4</xdr:col>
                <xdr:colOff>510540</xdr:colOff>
                <xdr:row>19</xdr:row>
                <xdr:rowOff>167640</xdr:rowOff>
              </from>
              <to>
                <xdr:col>5</xdr:col>
                <xdr:colOff>1432560</xdr:colOff>
                <xdr:row>21</xdr:row>
                <xdr:rowOff>38100</xdr:rowOff>
              </to>
            </anchor>
          </objectPr>
        </oleObject>
      </mc:Choice>
      <mc:Fallback>
        <oleObject progId="Equation.3" shapeId="3074" r:id="rId5"/>
      </mc:Fallback>
    </mc:AlternateContent>
    <mc:AlternateContent xmlns:mc="http://schemas.openxmlformats.org/markup-compatibility/2006">
      <mc:Choice Requires="x14">
        <oleObject progId="Equation.3" shapeId="3075" r:id="rId7">
          <objectPr defaultSize="0" autoPict="0" r:id="rId8">
            <anchor moveWithCells="1">
              <from>
                <xdr:col>4</xdr:col>
                <xdr:colOff>457200</xdr:colOff>
                <xdr:row>29</xdr:row>
                <xdr:rowOff>60960</xdr:rowOff>
              </from>
              <to>
                <xdr:col>6</xdr:col>
                <xdr:colOff>411480</xdr:colOff>
                <xdr:row>32</xdr:row>
                <xdr:rowOff>15240</xdr:rowOff>
              </to>
            </anchor>
          </objectPr>
        </oleObject>
      </mc:Choice>
      <mc:Fallback>
        <oleObject progId="Equation.3" shapeId="3075" r:id="rId7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5C040-CFDE-4D59-895B-C5A3BDC53E30}">
  <dimension ref="A1:D15"/>
  <sheetViews>
    <sheetView workbookViewId="0">
      <selection activeCell="A2" sqref="A2"/>
    </sheetView>
  </sheetViews>
  <sheetFormatPr baseColWidth="10" defaultColWidth="8.88671875" defaultRowHeight="14.4" x14ac:dyDescent="0.3"/>
  <cols>
    <col min="1" max="1" width="18.88671875" style="2" customWidth="1"/>
    <col min="2" max="2" width="8.88671875" style="2"/>
    <col min="3" max="3" width="9.5546875" style="2" customWidth="1"/>
    <col min="4" max="16384" width="8.88671875" style="2"/>
  </cols>
  <sheetData>
    <row r="1" spans="1:4" ht="73.8" customHeight="1" x14ac:dyDescent="0.3">
      <c r="A1" s="1" t="s">
        <v>93</v>
      </c>
    </row>
    <row r="5" spans="1:4" x14ac:dyDescent="0.3">
      <c r="B5" s="13" t="s">
        <v>84</v>
      </c>
      <c r="C5" s="13">
        <v>0.30480000000000002</v>
      </c>
      <c r="D5" s="4" t="s">
        <v>85</v>
      </c>
    </row>
    <row r="6" spans="1:4" x14ac:dyDescent="0.3">
      <c r="B6" s="13"/>
      <c r="C6" s="13"/>
      <c r="D6" s="4"/>
    </row>
    <row r="7" spans="1:4" x14ac:dyDescent="0.3">
      <c r="B7" s="13" t="s">
        <v>86</v>
      </c>
      <c r="C7" s="13">
        <f>10*C5</f>
        <v>3.048</v>
      </c>
      <c r="D7" s="4" t="s">
        <v>85</v>
      </c>
    </row>
    <row r="8" spans="1:4" x14ac:dyDescent="0.3">
      <c r="B8" s="13"/>
      <c r="C8" s="13"/>
      <c r="D8" s="4"/>
    </row>
    <row r="9" spans="1:4" x14ac:dyDescent="0.3">
      <c r="B9" s="13" t="s">
        <v>87</v>
      </c>
      <c r="C9" s="27">
        <f>0.507*1.32*(12*12)</f>
        <v>96.370560000000012</v>
      </c>
      <c r="D9" s="4" t="s">
        <v>88</v>
      </c>
    </row>
    <row r="10" spans="1:4" x14ac:dyDescent="0.3">
      <c r="B10" s="13"/>
      <c r="C10" s="13"/>
      <c r="D10" s="4"/>
    </row>
    <row r="11" spans="1:4" x14ac:dyDescent="0.3">
      <c r="B11" s="13" t="s">
        <v>89</v>
      </c>
      <c r="C11" s="27">
        <f>+C9*C7</f>
        <v>293.73746688000006</v>
      </c>
      <c r="D11" s="4" t="s">
        <v>90</v>
      </c>
    </row>
    <row r="12" spans="1:4" x14ac:dyDescent="0.3">
      <c r="B12" s="13" t="s">
        <v>91</v>
      </c>
      <c r="C12" s="27">
        <f>+(0.92+1.4)/2</f>
        <v>1.1599999999999999</v>
      </c>
      <c r="D12" s="4"/>
    </row>
    <row r="13" spans="1:4" x14ac:dyDescent="0.3">
      <c r="B13" s="13"/>
      <c r="C13" s="13"/>
      <c r="D13" s="4"/>
    </row>
    <row r="14" spans="1:4" x14ac:dyDescent="0.3">
      <c r="B14" s="13" t="s">
        <v>92</v>
      </c>
      <c r="C14" s="28">
        <f>+  (C12*C11^(1/3))  - ( 0.5*C7)</f>
        <v>6.1870071234509858</v>
      </c>
      <c r="D14" s="4" t="s">
        <v>85</v>
      </c>
    </row>
    <row r="15" spans="1:4" x14ac:dyDescent="0.3">
      <c r="B15" s="13"/>
      <c r="C15" s="13"/>
      <c r="D15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08BD8-5B0D-44E5-B0A3-7EAF9B625220}">
  <dimension ref="A1:C22"/>
  <sheetViews>
    <sheetView workbookViewId="0">
      <selection activeCell="A2" sqref="A2"/>
    </sheetView>
  </sheetViews>
  <sheetFormatPr baseColWidth="10" defaultColWidth="8.88671875" defaultRowHeight="14.4" x14ac:dyDescent="0.3"/>
  <cols>
    <col min="1" max="1" width="21" style="12" customWidth="1"/>
    <col min="2" max="2" width="55.44140625" style="12" customWidth="1"/>
    <col min="3" max="16384" width="8.88671875" style="12"/>
  </cols>
  <sheetData>
    <row r="1" spans="1:3" ht="66" customHeight="1" x14ac:dyDescent="0.3">
      <c r="A1" s="1" t="s">
        <v>93</v>
      </c>
    </row>
    <row r="2" spans="1:3" x14ac:dyDescent="0.3">
      <c r="B2" s="23" t="s">
        <v>66</v>
      </c>
      <c r="C2" s="23"/>
    </row>
    <row r="4" spans="1:3" x14ac:dyDescent="0.3">
      <c r="B4" s="23" t="s">
        <v>67</v>
      </c>
      <c r="C4" s="26">
        <v>20</v>
      </c>
    </row>
    <row r="5" spans="1:3" x14ac:dyDescent="0.3">
      <c r="B5" s="13" t="s">
        <v>68</v>
      </c>
      <c r="C5" s="4">
        <v>10</v>
      </c>
    </row>
    <row r="6" spans="1:3" x14ac:dyDescent="0.3">
      <c r="B6" s="13" t="s">
        <v>69</v>
      </c>
      <c r="C6" s="4">
        <v>20</v>
      </c>
    </row>
    <row r="7" spans="1:3" x14ac:dyDescent="0.3">
      <c r="B7" s="13" t="s">
        <v>70</v>
      </c>
      <c r="C7" s="4">
        <v>50</v>
      </c>
    </row>
    <row r="8" spans="1:3" x14ac:dyDescent="0.3">
      <c r="B8" s="23" t="s">
        <v>71</v>
      </c>
      <c r="C8" s="26">
        <v>50</v>
      </c>
    </row>
    <row r="9" spans="1:3" x14ac:dyDescent="0.3">
      <c r="B9" s="13" t="s">
        <v>72</v>
      </c>
      <c r="C9" s="4">
        <v>10</v>
      </c>
    </row>
    <row r="10" spans="1:3" x14ac:dyDescent="0.3">
      <c r="B10" s="13" t="s">
        <v>73</v>
      </c>
      <c r="C10" s="4">
        <v>20</v>
      </c>
    </row>
    <row r="11" spans="1:3" x14ac:dyDescent="0.3">
      <c r="B11" s="13" t="s">
        <v>74</v>
      </c>
      <c r="C11" s="4">
        <v>50</v>
      </c>
    </row>
    <row r="12" spans="1:3" x14ac:dyDescent="0.3">
      <c r="B12" s="23" t="s">
        <v>75</v>
      </c>
      <c r="C12" s="26">
        <v>30</v>
      </c>
    </row>
    <row r="13" spans="1:3" x14ac:dyDescent="0.3">
      <c r="B13" s="13" t="s">
        <v>76</v>
      </c>
      <c r="C13" s="4">
        <v>10</v>
      </c>
    </row>
    <row r="14" spans="1:3" x14ac:dyDescent="0.3">
      <c r="B14" s="13" t="s">
        <v>77</v>
      </c>
      <c r="C14" s="4">
        <v>20</v>
      </c>
    </row>
    <row r="15" spans="1:3" x14ac:dyDescent="0.3">
      <c r="B15" s="13" t="s">
        <v>78</v>
      </c>
      <c r="C15" s="4">
        <v>20</v>
      </c>
    </row>
    <row r="16" spans="1:3" x14ac:dyDescent="0.3">
      <c r="B16" s="13" t="s">
        <v>79</v>
      </c>
      <c r="C16" s="4">
        <v>30</v>
      </c>
    </row>
    <row r="17" spans="2:3" x14ac:dyDescent="0.3">
      <c r="B17" s="13" t="s">
        <v>80</v>
      </c>
      <c r="C17" s="4">
        <v>30</v>
      </c>
    </row>
    <row r="18" spans="2:3" x14ac:dyDescent="0.3">
      <c r="B18" s="13" t="s">
        <v>81</v>
      </c>
      <c r="C18" s="4">
        <v>40</v>
      </c>
    </row>
    <row r="19" spans="2:3" x14ac:dyDescent="0.3">
      <c r="B19" s="23" t="s">
        <v>82</v>
      </c>
      <c r="C19" s="26">
        <f>25*2.7-50</f>
        <v>17.5</v>
      </c>
    </row>
    <row r="20" spans="2:3" x14ac:dyDescent="0.3">
      <c r="B20" s="23" t="s">
        <v>83</v>
      </c>
      <c r="C20" s="26">
        <v>7</v>
      </c>
    </row>
    <row r="22" spans="2:3" x14ac:dyDescent="0.3">
      <c r="B22" s="23" t="s">
        <v>24</v>
      </c>
      <c r="C22" s="26">
        <f>0.5*(SUM(C16:C20))</f>
        <v>62.25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BA496-455D-41B2-B115-6986ED8394B1}">
  <dimension ref="A1:P20"/>
  <sheetViews>
    <sheetView workbookViewId="0">
      <selection activeCell="B20" sqref="B20"/>
    </sheetView>
  </sheetViews>
  <sheetFormatPr baseColWidth="10" defaultColWidth="9.109375" defaultRowHeight="14.4" x14ac:dyDescent="0.3"/>
  <cols>
    <col min="1" max="1" width="16.5546875" style="2" customWidth="1"/>
    <col min="2" max="2" width="18.77734375" style="2" customWidth="1"/>
    <col min="3" max="3" width="9" style="2" customWidth="1"/>
    <col min="4" max="4" width="14" style="2" customWidth="1"/>
    <col min="5" max="5" width="13.109375" style="2" customWidth="1"/>
    <col min="6" max="6" width="14.44140625" style="2" customWidth="1"/>
    <col min="7" max="7" width="9.33203125" style="2" customWidth="1"/>
    <col min="8" max="8" width="6.6640625" style="2" customWidth="1"/>
    <col min="9" max="13" width="9.109375" style="2"/>
    <col min="14" max="14" width="15.5546875" style="2" customWidth="1"/>
    <col min="15" max="15" width="15" style="2" customWidth="1"/>
    <col min="16" max="16" width="12.33203125" style="2" customWidth="1"/>
    <col min="17" max="16384" width="9.109375" style="2"/>
  </cols>
  <sheetData>
    <row r="1" spans="1:16" ht="54.6" customHeight="1" x14ac:dyDescent="0.3">
      <c r="A1" s="1" t="s">
        <v>93</v>
      </c>
    </row>
    <row r="4" spans="1:16" x14ac:dyDescent="0.3">
      <c r="B4" s="2" t="s">
        <v>0</v>
      </c>
      <c r="C4" s="2">
        <v>62.25</v>
      </c>
    </row>
    <row r="5" spans="1:16" x14ac:dyDescent="0.3">
      <c r="B5" s="2" t="s">
        <v>1</v>
      </c>
      <c r="C5" s="2">
        <f>0.004*C4</f>
        <v>0.249</v>
      </c>
      <c r="D5" s="2" t="s">
        <v>2</v>
      </c>
      <c r="E5" s="3">
        <f>1000*C5</f>
        <v>249</v>
      </c>
      <c r="F5" s="2" t="s">
        <v>3</v>
      </c>
    </row>
    <row r="6" spans="1:16" x14ac:dyDescent="0.3">
      <c r="B6" s="2" t="s">
        <v>4</v>
      </c>
      <c r="C6" s="14">
        <f>0.015*C4</f>
        <v>0.93374999999999997</v>
      </c>
      <c r="D6" s="2" t="s">
        <v>5</v>
      </c>
    </row>
    <row r="8" spans="1:16" ht="15" thickBot="1" x14ac:dyDescent="0.35"/>
    <row r="9" spans="1:16" ht="15" thickBot="1" x14ac:dyDescent="0.35">
      <c r="J9" s="29" t="s">
        <v>6</v>
      </c>
      <c r="K9" s="30"/>
      <c r="L9" s="30"/>
      <c r="M9" s="30"/>
      <c r="N9" s="30"/>
      <c r="O9" s="30"/>
      <c r="P9" s="31"/>
    </row>
    <row r="10" spans="1:16" x14ac:dyDescent="0.3">
      <c r="B10" s="4" t="s">
        <v>7</v>
      </c>
      <c r="C10" s="4" t="s">
        <v>8</v>
      </c>
      <c r="D10" s="4" t="s">
        <v>9</v>
      </c>
      <c r="E10" s="4" t="s">
        <v>10</v>
      </c>
      <c r="F10" s="4" t="s">
        <v>11</v>
      </c>
      <c r="G10" s="4" t="s">
        <v>12</v>
      </c>
      <c r="H10" s="4" t="s">
        <v>13</v>
      </c>
      <c r="I10" s="4" t="s">
        <v>14</v>
      </c>
      <c r="J10" s="5" t="s">
        <v>15</v>
      </c>
      <c r="K10" s="6" t="s">
        <v>16</v>
      </c>
      <c r="L10" s="6" t="s">
        <v>17</v>
      </c>
      <c r="M10" s="5" t="s">
        <v>18</v>
      </c>
      <c r="N10" s="5" t="s">
        <v>19</v>
      </c>
      <c r="O10" s="6" t="s">
        <v>20</v>
      </c>
      <c r="P10" s="5" t="s">
        <v>21</v>
      </c>
    </row>
    <row r="11" spans="1:16" x14ac:dyDescent="0.3">
      <c r="B11" s="9">
        <v>10</v>
      </c>
      <c r="C11" s="9">
        <v>7</v>
      </c>
      <c r="D11" s="9">
        <v>7</v>
      </c>
      <c r="E11" s="9">
        <v>2.7</v>
      </c>
      <c r="F11" s="9">
        <f>12*0.0254</f>
        <v>0.30479999999999996</v>
      </c>
      <c r="G11" s="9">
        <v>2.1</v>
      </c>
      <c r="H11" s="9">
        <v>5.73</v>
      </c>
      <c r="I11" s="9">
        <f>C11*D11*E11*(B11)</f>
        <v>1323</v>
      </c>
      <c r="J11" s="9">
        <v>920</v>
      </c>
      <c r="K11" s="9">
        <v>1.1000000000000001</v>
      </c>
      <c r="L11" s="9">
        <v>0.95</v>
      </c>
      <c r="M11" s="11">
        <f>((F11/2)^2)*(B11-H11)*3.14*K11*1000</f>
        <v>342.54697942079991</v>
      </c>
      <c r="N11" s="11">
        <f>(M11/I11)*L11*1000</f>
        <v>245.97099807238089</v>
      </c>
      <c r="O11" s="10">
        <f>(N11/4)*0.015</f>
        <v>0.92239124277142837</v>
      </c>
      <c r="P11" s="11">
        <f>(N11/$E$5)*100-100</f>
        <v>-1.2164666375980318</v>
      </c>
    </row>
    <row r="12" spans="1:16" x14ac:dyDescent="0.3">
      <c r="B12" s="4">
        <v>10</v>
      </c>
      <c r="C12" s="4">
        <v>7</v>
      </c>
      <c r="D12" s="4">
        <v>7</v>
      </c>
      <c r="E12" s="4">
        <v>2.7</v>
      </c>
      <c r="F12" s="4">
        <f t="shared" ref="F12:F16" si="0">12*0.0254</f>
        <v>0.30479999999999996</v>
      </c>
      <c r="G12" s="4">
        <v>2.1</v>
      </c>
      <c r="H12" s="4">
        <v>5.73</v>
      </c>
      <c r="I12" s="4">
        <f t="shared" ref="I12:I16" si="1">C12*D12*E12*(B12)</f>
        <v>1323</v>
      </c>
      <c r="J12" s="4">
        <v>930</v>
      </c>
      <c r="K12" s="4">
        <v>1.1000000000000001</v>
      </c>
      <c r="L12" s="4">
        <v>0.9</v>
      </c>
      <c r="M12" s="7">
        <f t="shared" ref="M12:M16" si="2">((F12/2)^2)*(B12-H12)*3.14*K12*1000</f>
        <v>342.54697942079991</v>
      </c>
      <c r="N12" s="7">
        <f t="shared" ref="N12:N16" si="3">(M12/I12)*L12*1000</f>
        <v>233.02515606857139</v>
      </c>
      <c r="O12" s="8">
        <f t="shared" ref="O12:O16" si="4">(N12/4)*0.015</f>
        <v>0.87384433525714267</v>
      </c>
      <c r="P12" s="7">
        <f t="shared" ref="P12:P16" si="5">(N12/$E$5)*100-100</f>
        <v>-6.4155999724612798</v>
      </c>
    </row>
    <row r="13" spans="1:16" x14ac:dyDescent="0.3">
      <c r="B13" s="4">
        <v>10</v>
      </c>
      <c r="C13" s="4">
        <v>7</v>
      </c>
      <c r="D13" s="4">
        <v>7</v>
      </c>
      <c r="E13" s="4">
        <v>2.7</v>
      </c>
      <c r="F13" s="4">
        <f t="shared" si="0"/>
        <v>0.30479999999999996</v>
      </c>
      <c r="G13" s="4">
        <v>2.1</v>
      </c>
      <c r="H13" s="4">
        <v>5.73</v>
      </c>
      <c r="I13" s="4">
        <f t="shared" si="1"/>
        <v>1323</v>
      </c>
      <c r="J13" s="4">
        <v>940</v>
      </c>
      <c r="K13" s="4">
        <v>1.1000000000000001</v>
      </c>
      <c r="L13" s="4">
        <v>0.9</v>
      </c>
      <c r="M13" s="7">
        <f t="shared" si="2"/>
        <v>342.54697942079991</v>
      </c>
      <c r="N13" s="7">
        <f t="shared" si="3"/>
        <v>233.02515606857139</v>
      </c>
      <c r="O13" s="8">
        <f t="shared" si="4"/>
        <v>0.87384433525714267</v>
      </c>
      <c r="P13" s="7">
        <f t="shared" si="5"/>
        <v>-6.4155999724612798</v>
      </c>
    </row>
    <row r="14" spans="1:16" x14ac:dyDescent="0.3">
      <c r="B14" s="4">
        <v>10</v>
      </c>
      <c r="C14" s="4">
        <v>7</v>
      </c>
      <c r="D14" s="4">
        <v>7</v>
      </c>
      <c r="E14" s="4">
        <v>2.7</v>
      </c>
      <c r="F14" s="4">
        <f t="shared" si="0"/>
        <v>0.30479999999999996</v>
      </c>
      <c r="G14" s="4">
        <v>2.1</v>
      </c>
      <c r="H14" s="4">
        <v>5.73</v>
      </c>
      <c r="I14" s="4">
        <f t="shared" si="1"/>
        <v>1323</v>
      </c>
      <c r="J14" s="4">
        <v>945</v>
      </c>
      <c r="K14" s="4">
        <v>1.1000000000000001</v>
      </c>
      <c r="L14" s="4">
        <v>0.89</v>
      </c>
      <c r="M14" s="7">
        <f t="shared" si="2"/>
        <v>342.54697942079991</v>
      </c>
      <c r="N14" s="7">
        <f t="shared" si="3"/>
        <v>230.43598766780948</v>
      </c>
      <c r="O14" s="8">
        <f t="shared" si="4"/>
        <v>0.86413495375428551</v>
      </c>
      <c r="P14" s="7">
        <f t="shared" si="5"/>
        <v>-7.4554266394339379</v>
      </c>
    </row>
    <row r="15" spans="1:16" x14ac:dyDescent="0.3">
      <c r="B15" s="4">
        <v>10</v>
      </c>
      <c r="C15" s="4">
        <v>7</v>
      </c>
      <c r="D15" s="4">
        <v>7</v>
      </c>
      <c r="E15" s="4">
        <v>2.7</v>
      </c>
      <c r="F15" s="4">
        <f t="shared" si="0"/>
        <v>0.30479999999999996</v>
      </c>
      <c r="G15" s="4">
        <v>2.1</v>
      </c>
      <c r="H15" s="4">
        <v>5.73</v>
      </c>
      <c r="I15" s="4">
        <f t="shared" si="1"/>
        <v>1323</v>
      </c>
      <c r="J15" s="4">
        <v>950</v>
      </c>
      <c r="K15" s="4">
        <v>1.1000000000000001</v>
      </c>
      <c r="L15" s="4">
        <v>0.88</v>
      </c>
      <c r="M15" s="7">
        <f t="shared" si="2"/>
        <v>342.54697942079991</v>
      </c>
      <c r="N15" s="7">
        <f t="shared" si="3"/>
        <v>227.84681926704758</v>
      </c>
      <c r="O15" s="8">
        <f t="shared" si="4"/>
        <v>0.85442557225142834</v>
      </c>
      <c r="P15" s="7">
        <f t="shared" si="5"/>
        <v>-8.495253306406596</v>
      </c>
    </row>
    <row r="16" spans="1:16" x14ac:dyDescent="0.3">
      <c r="B16" s="4">
        <v>10</v>
      </c>
      <c r="C16" s="4">
        <v>7</v>
      </c>
      <c r="D16" s="4">
        <v>7</v>
      </c>
      <c r="E16" s="4">
        <v>2.7</v>
      </c>
      <c r="F16" s="4">
        <f t="shared" si="0"/>
        <v>0.30479999999999996</v>
      </c>
      <c r="G16" s="4">
        <v>2.1</v>
      </c>
      <c r="H16" s="4">
        <v>6.19</v>
      </c>
      <c r="I16" s="4">
        <f t="shared" si="1"/>
        <v>1323</v>
      </c>
      <c r="J16" s="4" t="s">
        <v>22</v>
      </c>
      <c r="K16" s="4">
        <v>1.32</v>
      </c>
      <c r="L16" s="4">
        <v>1.1000000000000001</v>
      </c>
      <c r="M16" s="7">
        <f t="shared" si="2"/>
        <v>366.77395548287996</v>
      </c>
      <c r="N16" s="7">
        <f t="shared" si="3"/>
        <v>304.95189042416325</v>
      </c>
      <c r="O16" s="8">
        <f t="shared" si="4"/>
        <v>1.1435695890906121</v>
      </c>
      <c r="P16" s="7">
        <f t="shared" si="5"/>
        <v>22.470638724563557</v>
      </c>
    </row>
    <row r="20" spans="8:9" x14ac:dyDescent="0.3">
      <c r="H20" s="2">
        <f>3.14*(0.3/2)^2*10</f>
        <v>0.70650000000000002</v>
      </c>
      <c r="I20" s="2" t="s">
        <v>23</v>
      </c>
    </row>
  </sheetData>
  <mergeCells count="1">
    <mergeCell ref="J9:P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pearse borquez</vt:lpstr>
      <vt:lpstr>taco</vt:lpstr>
      <vt:lpstr>Lilly</vt:lpstr>
      <vt:lpstr>seleccion de 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luise</dc:creator>
  <cp:lastModifiedBy>nubem</cp:lastModifiedBy>
  <dcterms:created xsi:type="dcterms:W3CDTF">2020-11-10T02:03:24Z</dcterms:created>
  <dcterms:modified xsi:type="dcterms:W3CDTF">2021-03-21T01:50:50Z</dcterms:modified>
</cp:coreProperties>
</file>